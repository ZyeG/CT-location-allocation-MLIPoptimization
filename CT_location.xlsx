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showInkAnnotation="0" autoCompressPictures="0"/>
  <mc:AlternateContent xmlns:mc="http://schemas.openxmlformats.org/markup-compatibility/2006">
    <mc:Choice Requires="x15">
      <x15ac:absPath xmlns:x15ac="http://schemas.microsoft.com/office/spreadsheetml/2010/11/ac" url="/Users/ziyuegong/Desktop/25-26school+25summerta+workstudyQin+MLrelatedcourse/1623intro-healthcare-eng/"/>
    </mc:Choice>
  </mc:AlternateContent>
  <xr:revisionPtr revIDLastSave="0" documentId="13_ncr:1_{C85D7770-784F-E342-846C-7E56EDF7AF41}" xr6:coauthVersionLast="47" xr6:coauthVersionMax="47" xr10:uidLastSave="{00000000-0000-0000-0000-000000000000}"/>
  <bookViews>
    <workbookView xWindow="2520" yWindow="660" windowWidth="36820" windowHeight="17160" tabRatio="500" activeTab="2" xr2:uid="{00000000-000D-0000-FFFF-FFFF00000000}"/>
  </bookViews>
  <sheets>
    <sheet name="Demand" sheetId="2" r:id="rId1"/>
    <sheet name="TravelTime" sheetId="1" r:id="rId2"/>
    <sheet name="solver2-relax-distance-constrai" sheetId="4" r:id="rId3"/>
  </sheets>
  <definedNames>
    <definedName name="solver_adj" localSheetId="2" hidden="1">'solver2-relax-distance-constrai'!$B$7:$I$25,'solver2-relax-distance-constrai'!$B$28:$I$28</definedName>
    <definedName name="solver_cvg" localSheetId="2" hidden="1">0.0001</definedName>
    <definedName name="solver_drv" localSheetId="2" hidden="1">1</definedName>
    <definedName name="solver_eng" localSheetId="0" hidden="1">1</definedName>
    <definedName name="solver_eng" localSheetId="2" hidden="1">2</definedName>
    <definedName name="solver_itr" localSheetId="2" hidden="1">2147483647</definedName>
    <definedName name="solver_lhs1" localSheetId="2" hidden="1">'solver2-relax-distance-constrai'!$B$28:$I$28</definedName>
    <definedName name="solver_lhs2" localSheetId="2" hidden="1">'solver2-relax-distance-constrai'!$B$31:$I$31</definedName>
    <definedName name="solver_lhs3" localSheetId="2" hidden="1">'solver2-relax-distance-constrai'!$B$7:$I$25</definedName>
    <definedName name="solver_lhs4" localSheetId="2" hidden="1">'solver2-relax-distance-constrai'!$J$7:$J$25</definedName>
    <definedName name="solver_lin" localSheetId="0" hidden="1">2</definedName>
    <definedName name="solver_lin" localSheetId="2" hidden="1">1</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0" hidden="1">1</definedName>
    <definedName name="solver_neg" localSheetId="2" hidden="1">1</definedName>
    <definedName name="solver_nod" localSheetId="2" hidden="1">2147483647</definedName>
    <definedName name="solver_num" localSheetId="0" hidden="1">0</definedName>
    <definedName name="solver_num" localSheetId="2" hidden="1">4</definedName>
    <definedName name="solver_opt" localSheetId="0" hidden="1">Demand!$E$18</definedName>
    <definedName name="solver_opt" localSheetId="2" hidden="1">'solver2-relax-distance-constrai'!$B$2</definedName>
    <definedName name="solver_pre" localSheetId="2" hidden="1">0.000001</definedName>
    <definedName name="solver_rbv" localSheetId="2" hidden="1">1</definedName>
    <definedName name="solver_rel1" localSheetId="2" hidden="1">4</definedName>
    <definedName name="solver_rel2" localSheetId="2" hidden="1">1</definedName>
    <definedName name="solver_rel3" localSheetId="2" hidden="1">4</definedName>
    <definedName name="solver_rel4" localSheetId="2" hidden="1">2</definedName>
    <definedName name="solver_rhs1" localSheetId="2" hidden="1">"integer"</definedName>
    <definedName name="solver_rhs2" localSheetId="2" hidden="1">'solver2-relax-distance-constrai'!$B$33:$I$33</definedName>
    <definedName name="solver_rhs3" localSheetId="2" hidden="1">"integer"</definedName>
    <definedName name="solver_rhs4" localSheetId="2" hidden="1">'solver2-relax-distance-constrai'!$L$7:$L$25</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0" hidden="1">1</definedName>
    <definedName name="solver_typ" localSheetId="2" hidden="1">2</definedName>
    <definedName name="solver_val" localSheetId="0" hidden="1">0</definedName>
    <definedName name="solver_val" localSheetId="2" hidden="1">0</definedName>
    <definedName name="solver_ver" localSheetId="0" hidden="1">2</definedName>
    <definedName name="solver_ver" localSheetId="2" hidde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 i="4" l="1"/>
  <c r="A36" i="4" a="1"/>
  <c r="I33" i="4"/>
  <c r="H33" i="4"/>
  <c r="G33" i="4"/>
  <c r="F33" i="4"/>
  <c r="E33" i="4"/>
  <c r="D33" i="4"/>
  <c r="C33" i="4"/>
  <c r="B33" i="4"/>
  <c r="I31" i="4"/>
  <c r="H31" i="4"/>
  <c r="G31" i="4"/>
  <c r="F31" i="4"/>
  <c r="E31" i="4"/>
  <c r="D31" i="4"/>
  <c r="C31" i="4"/>
  <c r="B31" i="4"/>
  <c r="J25" i="4"/>
  <c r="J24" i="4"/>
  <c r="J23" i="4"/>
  <c r="J22" i="4"/>
  <c r="J21" i="4"/>
  <c r="J20" i="4"/>
  <c r="J19" i="4"/>
  <c r="J18" i="4"/>
  <c r="J17" i="4"/>
  <c r="J16" i="4"/>
  <c r="J15" i="4"/>
  <c r="J14" i="4"/>
  <c r="J13" i="4"/>
  <c r="J12" i="4"/>
  <c r="J11" i="4"/>
  <c r="J10" i="4"/>
  <c r="J9" i="4"/>
  <c r="J8" i="4"/>
  <c r="J7"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<sst xmlns="http://schemas.openxmlformats.org/spreadsheetml/2006/main" count="53" uniqueCount="28">
  <si>
    <t>A</t>
  </si>
  <si>
    <t>B</t>
  </si>
  <si>
    <t>C</t>
  </si>
  <si>
    <t>D</t>
  </si>
  <si>
    <t>E</t>
  </si>
  <si>
    <t>F</t>
  </si>
  <si>
    <t>G</t>
  </si>
  <si>
    <t>H</t>
  </si>
  <si>
    <t>CID / CT loc</t>
  </si>
  <si>
    <t>Demand</t>
  </si>
  <si>
    <t>CID</t>
  </si>
  <si>
    <t>OBJECTIVE FUNCTION:</t>
  </si>
  <si>
    <t>DECISION VARIABLES: Patient Flow (x)</t>
  </si>
  <si>
    <t>Total Routed</t>
  </si>
  <si>
    <t xml:space="preserve"> </t>
  </si>
  <si>
    <t>True Demand</t>
  </si>
  <si>
    <t>DECISION VARIABLES: Machines Built (y)</t>
  </si>
  <si>
    <t>Machines (integer)</t>
  </si>
  <si>
    <t>CAPACITY CONSTRAINTS:</t>
  </si>
  <si>
    <t>Patients Routed</t>
  </si>
  <si>
    <t>&lt;=</t>
  </si>
  <si>
    <t>Max Capacity</t>
  </si>
  <si>
    <t># Fixed Costs: (SUM(B28:I28)*2950000) calculates the total capital allocated for machines ($1.25M install + $1.7M operating per machine).
Variable Costs: (SUM(B7:I25)*62.26) calculates the total cost of performing all required exams.
Travel Distance Penalty: (SUMPRODUCT(TravelTime!B2:I20, B7:I25)*0.001) computes the total minutes traveled by all patients and applies a tiny fractional weight (0.001), so that the LP solver to route patients to their closest available CT scanner.</t>
  </si>
  <si>
    <t>Total Cost + distance penalty (total distance * 0.001)</t>
  </si>
  <si>
    <t>population within 45min distance to CT</t>
  </si>
  <si>
    <t>Decision Variable:
 x_ij: number of patients routed from each of the 19 census tracts to each of the 8 hospitals.
y_j: # of new CT machines installed at each hospital.</t>
  </si>
  <si>
    <t>Constraints
1. meet demand: sum of patients routed from a specific census tract to all hospitals = the total demand for that tract.
2. Machine Capacity: The total number of patients routed to a hospital cannot exceed the maximum processing capacity of its installed machines (19,743 per machine)
3. x_ij, y_j non-negative integer.</t>
  </si>
  <si>
    <t>Note: Initially tried. make the 90% coverage target as a constraint, but solver returned "Infeasible" error. Notice the physical geography of the region (specifically the distances of Tracts 10, 14, and 16) caps the theoretical max coverage. 
So instead integrate this target as a penalty term in the goal. This allows the model to successfully find a feasible solution that achieves the 88.90% coverage (i.e. 88.90% of the population travel within 45min for a scan).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</si>
</sst>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9"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2"/>
      <name val="Calibri"/>
      <family val="2"/>
      <scheme val="minor"/>
    </font>
    <font>
      <sz val="12"/>
      <color rgb="FF000000"/>
      <name val="Calibri"/>
      <family val="2"/>
      <scheme val="minor"/>
    </font>
    <font>
      <sz val="12"/>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D3D3D3"/>
        <bgColor indexed="64"/>
      </patternFill>
    </fill>
    <fill>
      <patternFill patternType="solid">
        <fgColor rgb="FFE6E6FA"/>
        <bgColor indexed="64"/>
      </patternFill>
    </fill>
    <fill>
      <patternFill patternType="solid">
        <fgColor rgb="FFFFFF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16">
    <xf numFmtId="0" fontId="0" fillId="0" borderId="0" xfId="0"/>
    <xf numFmtId="0" fontId="0" fillId="0" borderId="1" xfId="0" applyBorder="1"/>
    <xf numFmtId="0" fontId="4" fillId="0" borderId="1" xfId="0" applyFont="1" applyBorder="1"/>
    <xf numFmtId="0" fontId="5" fillId="2" borderId="1" xfId="0" applyFont="1" applyFill="1" applyBorder="1"/>
    <xf numFmtId="0" fontId="1" fillId="2" borderId="1" xfId="0" applyFont="1" applyFill="1" applyBorder="1"/>
    <xf numFmtId="0" fontId="6" fillId="0" borderId="1" xfId="0" applyFont="1" applyBorder="1"/>
    <xf numFmtId="0" fontId="6" fillId="0" borderId="2" xfId="0" applyFont="1" applyBorder="1"/>
    <xf numFmtId="0" fontId="8" fillId="0" borderId="0" xfId="0" applyFont="1"/>
    <xf numFmtId="0" fontId="8" fillId="3" borderId="1" xfId="0" applyFont="1" applyFill="1" applyBorder="1" applyAlignment="1">
      <alignment horizontal="center"/>
    </xf>
    <xf numFmtId="0" fontId="0" fillId="5" borderId="1" xfId="0" applyFill="1" applyBorder="1" applyAlignment="1">
      <alignment horizontal="center"/>
    </xf>
    <xf numFmtId="0" fontId="0" fillId="4" borderId="1" xfId="0" applyFill="1" applyBorder="1" applyAlignment="1">
      <alignment horizontal="center"/>
    </xf>
    <xf numFmtId="0" fontId="0" fillId="0" borderId="1" xfId="0" applyBorder="1" applyAlignment="1">
      <alignment horizontal="center"/>
    </xf>
    <xf numFmtId="0" fontId="8" fillId="3" borderId="0" xfId="0" applyFont="1" applyFill="1" applyBorder="1" applyAlignment="1">
      <alignment horizontal="center"/>
    </xf>
    <xf numFmtId="0" fontId="0" fillId="4" borderId="1" xfId="11" applyNumberFormat="1" applyFont="1" applyFill="1" applyBorder="1"/>
    <xf numFmtId="9" fontId="8" fillId="3" borderId="0" xfId="12" applyFont="1" applyFill="1" applyBorder="1" applyAlignment="1">
      <alignment horizontal="center"/>
    </xf>
    <xf numFmtId="0" fontId="0" fillId="0" borderId="0" xfId="0" applyAlignment="1">
      <alignment wrapText="1"/>
    </xf>
  </cellXfs>
  <cellStyles count="13">
    <cellStyle name="Currency" xfId="11" builtinId="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 name="Percent" xfId="12"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election activeCell="E18" sqref="E18"/>
    </sheetView>
  </sheetViews>
  <sheetFormatPr baseColWidth="10" defaultColWidth="11" defaultRowHeight="16" x14ac:dyDescent="0.2"/>
  <sheetData>
    <row r="1" spans="1:2" x14ac:dyDescent="0.2">
      <c r="A1" s="3" t="s">
        <v>10</v>
      </c>
      <c r="B1" s="4" t="s">
        <v>9</v>
      </c>
    </row>
    <row r="2" spans="1:2" x14ac:dyDescent="0.2">
      <c r="A2" s="2">
        <v>1</v>
      </c>
      <c r="B2" s="6">
        <v>332</v>
      </c>
    </row>
    <row r="3" spans="1:2" x14ac:dyDescent="0.2">
      <c r="A3" s="2">
        <v>2</v>
      </c>
      <c r="B3" s="6">
        <v>14076</v>
      </c>
    </row>
    <row r="4" spans="1:2" x14ac:dyDescent="0.2">
      <c r="A4" s="2">
        <v>3</v>
      </c>
      <c r="B4" s="6">
        <v>12343</v>
      </c>
    </row>
    <row r="5" spans="1:2" x14ac:dyDescent="0.2">
      <c r="A5" s="2">
        <v>4</v>
      </c>
      <c r="B5" s="5">
        <v>18034</v>
      </c>
    </row>
    <row r="6" spans="1:2" x14ac:dyDescent="0.2">
      <c r="A6" s="2">
        <v>5</v>
      </c>
      <c r="B6" s="6">
        <v>15367</v>
      </c>
    </row>
    <row r="7" spans="1:2" x14ac:dyDescent="0.2">
      <c r="A7" s="2">
        <v>6</v>
      </c>
      <c r="B7" s="6">
        <v>10654</v>
      </c>
    </row>
    <row r="8" spans="1:2" x14ac:dyDescent="0.2">
      <c r="A8" s="2">
        <v>7</v>
      </c>
      <c r="B8" s="6">
        <v>17976</v>
      </c>
    </row>
    <row r="9" spans="1:2" x14ac:dyDescent="0.2">
      <c r="A9" s="2">
        <v>8</v>
      </c>
      <c r="B9" s="6">
        <v>8745</v>
      </c>
    </row>
    <row r="10" spans="1:2" x14ac:dyDescent="0.2">
      <c r="A10" s="2">
        <v>9</v>
      </c>
      <c r="B10" s="6">
        <v>8243</v>
      </c>
    </row>
    <row r="11" spans="1:2" x14ac:dyDescent="0.2">
      <c r="A11" s="2">
        <v>10</v>
      </c>
      <c r="B11" s="6">
        <v>9667</v>
      </c>
    </row>
    <row r="12" spans="1:2" x14ac:dyDescent="0.2">
      <c r="A12" s="2">
        <v>11</v>
      </c>
      <c r="B12" s="6">
        <v>6505</v>
      </c>
    </row>
    <row r="13" spans="1:2" x14ac:dyDescent="0.2">
      <c r="A13" s="2">
        <v>12</v>
      </c>
      <c r="B13" s="6">
        <v>4026</v>
      </c>
    </row>
    <row r="14" spans="1:2" x14ac:dyDescent="0.2">
      <c r="A14" s="2">
        <v>13</v>
      </c>
      <c r="B14" s="6">
        <v>3593</v>
      </c>
    </row>
    <row r="15" spans="1:2" x14ac:dyDescent="0.2">
      <c r="A15" s="2">
        <v>14</v>
      </c>
      <c r="B15" s="6">
        <v>3327</v>
      </c>
    </row>
    <row r="16" spans="1:2" x14ac:dyDescent="0.2">
      <c r="A16" s="2">
        <v>15</v>
      </c>
      <c r="B16" s="6">
        <v>3296</v>
      </c>
    </row>
    <row r="17" spans="1:2" x14ac:dyDescent="0.2">
      <c r="A17" s="2">
        <v>16</v>
      </c>
      <c r="B17" s="6">
        <v>3199</v>
      </c>
    </row>
    <row r="18" spans="1:2" x14ac:dyDescent="0.2">
      <c r="A18" s="2">
        <v>17</v>
      </c>
      <c r="B18" s="6">
        <v>2406</v>
      </c>
    </row>
    <row r="19" spans="1:2" x14ac:dyDescent="0.2">
      <c r="A19" s="2">
        <v>18</v>
      </c>
      <c r="B19" s="6">
        <v>2118</v>
      </c>
    </row>
    <row r="20" spans="1:2" x14ac:dyDescent="0.2">
      <c r="A20" s="2">
        <v>19</v>
      </c>
      <c r="B20" s="6">
        <v>1914</v>
      </c>
    </row>
    <row r="21" spans="1:2" x14ac:dyDescent="0.2">
      <c r="A21" s="2"/>
      <c r="B21" s="6"/>
    </row>
  </sheetData>
  <sortState xmlns:xlrd2="http://schemas.microsoft.com/office/spreadsheetml/2017/richdata2" ref="I3:I21">
    <sortCondition descending="1" ref="I3:I21"/>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workbookViewId="0">
      <selection activeCell="B2" sqref="B2"/>
    </sheetView>
  </sheetViews>
  <sheetFormatPr baseColWidth="10" defaultColWidth="11" defaultRowHeight="16" x14ac:dyDescent="0.2"/>
  <sheetData>
    <row r="1" spans="1:9" x14ac:dyDescent="0.2">
      <c r="A1" s="3" t="s">
        <v>8</v>
      </c>
      <c r="B1" s="4" t="s">
        <v>0</v>
      </c>
      <c r="C1" s="4" t="s">
        <v>1</v>
      </c>
      <c r="D1" s="4" t="s">
        <v>2</v>
      </c>
      <c r="E1" s="4" t="s">
        <v>3</v>
      </c>
      <c r="F1" s="4" t="s">
        <v>4</v>
      </c>
      <c r="G1" s="4" t="s">
        <v>5</v>
      </c>
      <c r="H1" s="4" t="s">
        <v>6</v>
      </c>
      <c r="I1" s="4" t="s">
        <v>7</v>
      </c>
    </row>
    <row r="2" spans="1:9" x14ac:dyDescent="0.2">
      <c r="A2" s="2">
        <v>1</v>
      </c>
      <c r="B2" s="1">
        <v>10</v>
      </c>
      <c r="C2" s="1">
        <v>48</v>
      </c>
      <c r="D2" s="1">
        <v>64</v>
      </c>
      <c r="E2" s="1">
        <v>80</v>
      </c>
      <c r="F2" s="1">
        <v>152</v>
      </c>
      <c r="G2" s="1">
        <v>152</v>
      </c>
      <c r="H2" s="1">
        <v>168</v>
      </c>
      <c r="I2" s="1">
        <v>232</v>
      </c>
    </row>
    <row r="3" spans="1:9" x14ac:dyDescent="0.2">
      <c r="A3" s="2">
        <v>2</v>
      </c>
      <c r="B3" s="1">
        <v>48</v>
      </c>
      <c r="C3" s="1">
        <v>4</v>
      </c>
      <c r="D3" s="1">
        <v>40</v>
      </c>
      <c r="E3" s="1">
        <v>32</v>
      </c>
      <c r="F3" s="1">
        <v>104</v>
      </c>
      <c r="G3" s="1">
        <v>104</v>
      </c>
      <c r="H3" s="1">
        <v>120</v>
      </c>
      <c r="I3" s="1">
        <v>192</v>
      </c>
    </row>
    <row r="4" spans="1:9" x14ac:dyDescent="0.2">
      <c r="A4" s="2">
        <v>3</v>
      </c>
      <c r="B4" s="1">
        <v>64</v>
      </c>
      <c r="C4" s="1">
        <v>40</v>
      </c>
      <c r="D4" s="1">
        <v>8</v>
      </c>
      <c r="E4" s="1">
        <v>40</v>
      </c>
      <c r="F4" s="1">
        <v>96</v>
      </c>
      <c r="G4" s="1">
        <v>128</v>
      </c>
      <c r="H4" s="1">
        <v>96</v>
      </c>
      <c r="I4" s="1">
        <v>184</v>
      </c>
    </row>
    <row r="5" spans="1:9" x14ac:dyDescent="0.2">
      <c r="A5" s="2">
        <v>4</v>
      </c>
      <c r="B5" s="1">
        <v>80</v>
      </c>
      <c r="C5" s="1">
        <v>32</v>
      </c>
      <c r="D5" s="1">
        <v>40</v>
      </c>
      <c r="E5" s="1">
        <v>12</v>
      </c>
      <c r="F5" s="1">
        <v>72</v>
      </c>
      <c r="G5" s="1">
        <v>80</v>
      </c>
      <c r="H5" s="1">
        <v>80</v>
      </c>
      <c r="I5" s="1">
        <v>152</v>
      </c>
    </row>
    <row r="6" spans="1:9" x14ac:dyDescent="0.2">
      <c r="A6" s="2">
        <v>5</v>
      </c>
      <c r="B6" s="1">
        <v>152</v>
      </c>
      <c r="C6" s="1">
        <v>104</v>
      </c>
      <c r="D6" s="1">
        <v>96</v>
      </c>
      <c r="E6" s="1">
        <v>72</v>
      </c>
      <c r="F6" s="1">
        <v>4</v>
      </c>
      <c r="G6" s="1">
        <v>32</v>
      </c>
      <c r="H6" s="1">
        <v>8</v>
      </c>
      <c r="I6" s="1">
        <v>112</v>
      </c>
    </row>
    <row r="7" spans="1:9" x14ac:dyDescent="0.2">
      <c r="A7" s="2">
        <v>6</v>
      </c>
      <c r="B7" s="1">
        <v>152</v>
      </c>
      <c r="C7" s="1">
        <v>104</v>
      </c>
      <c r="D7" s="1">
        <v>128</v>
      </c>
      <c r="E7" s="1">
        <v>80</v>
      </c>
      <c r="F7" s="1">
        <v>32</v>
      </c>
      <c r="G7" s="1">
        <v>7</v>
      </c>
      <c r="H7" s="1">
        <v>64</v>
      </c>
      <c r="I7" s="1">
        <v>144</v>
      </c>
    </row>
    <row r="8" spans="1:9" x14ac:dyDescent="0.2">
      <c r="A8" s="2">
        <v>7</v>
      </c>
      <c r="B8" s="1">
        <v>168</v>
      </c>
      <c r="C8" s="1">
        <v>120</v>
      </c>
      <c r="D8" s="1">
        <v>96</v>
      </c>
      <c r="E8" s="1">
        <v>80</v>
      </c>
      <c r="F8" s="1">
        <v>8</v>
      </c>
      <c r="G8" s="1">
        <v>64</v>
      </c>
      <c r="H8" s="1">
        <v>4</v>
      </c>
      <c r="I8" s="1">
        <v>96</v>
      </c>
    </row>
    <row r="9" spans="1:9" x14ac:dyDescent="0.2">
      <c r="A9" s="2">
        <v>8</v>
      </c>
      <c r="B9" s="1">
        <v>232</v>
      </c>
      <c r="C9" s="1">
        <v>192</v>
      </c>
      <c r="D9" s="1">
        <v>184</v>
      </c>
      <c r="E9" s="1">
        <v>152</v>
      </c>
      <c r="F9" s="1">
        <v>112</v>
      </c>
      <c r="G9" s="1">
        <v>144</v>
      </c>
      <c r="H9" s="1">
        <v>96</v>
      </c>
      <c r="I9" s="1">
        <v>15</v>
      </c>
    </row>
    <row r="10" spans="1:9" x14ac:dyDescent="0.2">
      <c r="A10" s="2">
        <v>9</v>
      </c>
      <c r="B10" s="1">
        <v>80</v>
      </c>
      <c r="C10" s="1">
        <v>56</v>
      </c>
      <c r="D10" s="1">
        <v>24</v>
      </c>
      <c r="E10" s="1">
        <v>24</v>
      </c>
      <c r="F10" s="1">
        <v>88</v>
      </c>
      <c r="G10" s="1">
        <v>128</v>
      </c>
      <c r="H10" s="1">
        <v>80</v>
      </c>
      <c r="I10" s="1">
        <v>144</v>
      </c>
    </row>
    <row r="11" spans="1:9" x14ac:dyDescent="0.2">
      <c r="A11" s="2">
        <v>10</v>
      </c>
      <c r="B11" s="1">
        <v>224</v>
      </c>
      <c r="C11" s="1">
        <v>176</v>
      </c>
      <c r="D11" s="1">
        <v>160</v>
      </c>
      <c r="E11" s="1">
        <v>136</v>
      </c>
      <c r="F11" s="1">
        <v>80</v>
      </c>
      <c r="G11" s="1">
        <v>112</v>
      </c>
      <c r="H11" s="1">
        <v>64</v>
      </c>
      <c r="I11" s="1">
        <v>56</v>
      </c>
    </row>
    <row r="12" spans="1:9" x14ac:dyDescent="0.2">
      <c r="A12" s="2">
        <v>11</v>
      </c>
      <c r="B12" s="1">
        <v>40</v>
      </c>
      <c r="C12" s="1">
        <v>104</v>
      </c>
      <c r="D12" s="1">
        <v>64</v>
      </c>
      <c r="E12" s="1">
        <v>104</v>
      </c>
      <c r="F12" s="1">
        <v>160</v>
      </c>
      <c r="G12" s="1">
        <v>192</v>
      </c>
      <c r="H12" s="1">
        <v>160</v>
      </c>
      <c r="I12" s="1">
        <v>248</v>
      </c>
    </row>
    <row r="13" spans="1:9" x14ac:dyDescent="0.2">
      <c r="A13" s="2">
        <v>12</v>
      </c>
      <c r="B13" s="1">
        <v>32</v>
      </c>
      <c r="C13" s="1">
        <v>64</v>
      </c>
      <c r="D13" s="1">
        <v>40</v>
      </c>
      <c r="E13" s="1">
        <v>72</v>
      </c>
      <c r="F13" s="1">
        <v>136</v>
      </c>
      <c r="G13" s="1">
        <v>176</v>
      </c>
      <c r="H13" s="1">
        <v>128</v>
      </c>
      <c r="I13" s="1">
        <v>192</v>
      </c>
    </row>
    <row r="14" spans="1:9" x14ac:dyDescent="0.2">
      <c r="A14" s="2">
        <v>13</v>
      </c>
      <c r="B14" s="1">
        <v>88</v>
      </c>
      <c r="C14" s="1">
        <v>64</v>
      </c>
      <c r="D14" s="1">
        <v>24</v>
      </c>
      <c r="E14" s="1">
        <v>64</v>
      </c>
      <c r="F14" s="1">
        <v>120</v>
      </c>
      <c r="G14" s="1">
        <v>152</v>
      </c>
      <c r="H14" s="1">
        <v>104</v>
      </c>
      <c r="I14" s="1">
        <v>160</v>
      </c>
    </row>
    <row r="15" spans="1:9" x14ac:dyDescent="0.2">
      <c r="A15" s="2">
        <v>14</v>
      </c>
      <c r="B15" s="1">
        <v>136</v>
      </c>
      <c r="C15" s="1">
        <v>80</v>
      </c>
      <c r="D15" s="1">
        <v>72</v>
      </c>
      <c r="E15" s="1">
        <v>48</v>
      </c>
      <c r="F15" s="1">
        <v>72</v>
      </c>
      <c r="G15" s="1">
        <v>104</v>
      </c>
      <c r="H15" s="1">
        <v>64</v>
      </c>
      <c r="I15" s="1">
        <v>128</v>
      </c>
    </row>
    <row r="16" spans="1:9" x14ac:dyDescent="0.2">
      <c r="A16" s="2">
        <v>15</v>
      </c>
      <c r="B16" s="1">
        <v>184</v>
      </c>
      <c r="C16" s="1">
        <v>136</v>
      </c>
      <c r="D16" s="1">
        <v>112</v>
      </c>
      <c r="E16" s="1">
        <v>96</v>
      </c>
      <c r="F16" s="1">
        <v>24</v>
      </c>
      <c r="G16" s="1">
        <v>80</v>
      </c>
      <c r="H16" s="1">
        <v>16</v>
      </c>
      <c r="I16" s="1">
        <v>80</v>
      </c>
    </row>
    <row r="17" spans="1:9" x14ac:dyDescent="0.2">
      <c r="A17" s="2">
        <v>16</v>
      </c>
      <c r="B17" s="1">
        <v>112</v>
      </c>
      <c r="C17" s="1">
        <v>64</v>
      </c>
      <c r="D17" s="1">
        <v>88</v>
      </c>
      <c r="E17" s="1">
        <v>48</v>
      </c>
      <c r="F17" s="1">
        <v>56</v>
      </c>
      <c r="G17" s="1">
        <v>56</v>
      </c>
      <c r="H17" s="1">
        <v>64</v>
      </c>
      <c r="I17" s="1">
        <v>160</v>
      </c>
    </row>
    <row r="18" spans="1:9" x14ac:dyDescent="0.2">
      <c r="A18" s="2">
        <v>17</v>
      </c>
      <c r="B18" s="1">
        <v>176</v>
      </c>
      <c r="C18" s="1">
        <v>128</v>
      </c>
      <c r="D18" s="1">
        <v>136</v>
      </c>
      <c r="E18" s="1">
        <v>96</v>
      </c>
      <c r="F18" s="1">
        <v>48</v>
      </c>
      <c r="G18" s="1">
        <v>32</v>
      </c>
      <c r="H18" s="1">
        <v>56</v>
      </c>
      <c r="I18" s="1">
        <v>72</v>
      </c>
    </row>
    <row r="19" spans="1:9" x14ac:dyDescent="0.2">
      <c r="A19" s="2">
        <v>18</v>
      </c>
      <c r="B19" s="1">
        <v>112</v>
      </c>
      <c r="C19" s="1">
        <v>64</v>
      </c>
      <c r="D19" s="1">
        <v>56</v>
      </c>
      <c r="E19" s="1">
        <v>32</v>
      </c>
      <c r="F19" s="1">
        <v>40</v>
      </c>
      <c r="G19" s="1">
        <v>72</v>
      </c>
      <c r="H19" s="1">
        <v>48</v>
      </c>
      <c r="I19" s="1">
        <v>152</v>
      </c>
    </row>
    <row r="20" spans="1:9" x14ac:dyDescent="0.2">
      <c r="A20" s="2">
        <v>19</v>
      </c>
      <c r="B20" s="1">
        <v>152</v>
      </c>
      <c r="C20" s="1">
        <v>104</v>
      </c>
      <c r="D20" s="1">
        <v>96</v>
      </c>
      <c r="E20" s="1">
        <v>72</v>
      </c>
      <c r="F20" s="1">
        <v>32</v>
      </c>
      <c r="G20" s="1">
        <v>88</v>
      </c>
      <c r="H20" s="1">
        <v>24</v>
      </c>
      <c r="I20" s="1">
        <v>104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5C77-BF22-264E-891C-7320AEEB26F8}">
  <dimension ref="A1:L47"/>
  <sheetViews>
    <sheetView tabSelected="1" zoomScale="32" workbookViewId="0">
      <selection activeCell="C45" sqref="C45"/>
    </sheetView>
  </sheetViews>
  <sheetFormatPr baseColWidth="10" defaultRowHeight="16" x14ac:dyDescent="0.2"/>
  <cols>
    <col min="1" max="1" width="88.5" customWidth="1"/>
    <col min="2" max="2" width="43.33203125" customWidth="1"/>
    <col min="3" max="3" width="77.33203125" customWidth="1"/>
  </cols>
  <sheetData>
    <row r="1" spans="1:12" x14ac:dyDescent="0.2">
      <c r="A1" s="7" t="s">
        <v>11</v>
      </c>
    </row>
    <row r="2" spans="1:12" ht="153" x14ac:dyDescent="0.2">
      <c r="A2" s="8" t="s">
        <v>23</v>
      </c>
      <c r="B2" s="13">
        <f>(SUM(B28:I28)*2950000)+(SUM(B7:I25)*62.26) + SUMPRODUCT(TravelTime!B2:I20, B7:I25)*0.001</f>
        <v>32681521.901000001</v>
      </c>
      <c r="C2" s="15" t="s">
        <v>22</v>
      </c>
    </row>
    <row r="5" spans="1:12" x14ac:dyDescent="0.2">
      <c r="A5" s="7" t="s">
        <v>12</v>
      </c>
    </row>
    <row r="6" spans="1:12" x14ac:dyDescent="0.2">
      <c r="A6" s="8" t="s">
        <v>8</v>
      </c>
      <c r="B6" s="8" t="s">
        <v>0</v>
      </c>
      <c r="C6" s="8" t="s">
        <v>1</v>
      </c>
      <c r="D6" s="8" t="s">
        <v>2</v>
      </c>
      <c r="E6" s="8" t="s">
        <v>3</v>
      </c>
      <c r="F6" s="8" t="s">
        <v>4</v>
      </c>
      <c r="G6" s="8" t="s">
        <v>5</v>
      </c>
      <c r="H6" s="8" t="s">
        <v>6</v>
      </c>
      <c r="I6" s="8" t="s">
        <v>7</v>
      </c>
      <c r="J6" s="8" t="s">
        <v>13</v>
      </c>
      <c r="K6" s="8" t="s">
        <v>14</v>
      </c>
      <c r="L6" s="8" t="s">
        <v>15</v>
      </c>
    </row>
    <row r="7" spans="1:12" x14ac:dyDescent="0.2">
      <c r="A7" s="8">
        <v>1</v>
      </c>
      <c r="B7" s="9">
        <v>332</v>
      </c>
      <c r="C7" s="9">
        <v>0</v>
      </c>
      <c r="D7" s="9">
        <v>0</v>
      </c>
      <c r="E7" s="9">
        <v>0</v>
      </c>
      <c r="F7" s="9">
        <v>0</v>
      </c>
      <c r="G7" s="9">
        <v>0</v>
      </c>
      <c r="H7" s="9">
        <v>0</v>
      </c>
      <c r="I7" s="9">
        <v>0</v>
      </c>
      <c r="J7" s="10">
        <f t="shared" ref="J7:J25" si="0">SUM(B7:I7)</f>
        <v>332</v>
      </c>
      <c r="K7" s="11">
        <v>0</v>
      </c>
      <c r="L7" s="11">
        <v>332</v>
      </c>
    </row>
    <row r="8" spans="1:12" x14ac:dyDescent="0.2">
      <c r="A8" s="8">
        <v>2</v>
      </c>
      <c r="B8" s="9">
        <v>0</v>
      </c>
      <c r="C8" s="9">
        <v>14076</v>
      </c>
      <c r="D8" s="9">
        <v>0</v>
      </c>
      <c r="E8" s="9">
        <v>0</v>
      </c>
      <c r="F8" s="9">
        <v>0</v>
      </c>
      <c r="G8" s="9">
        <v>0</v>
      </c>
      <c r="H8" s="9">
        <v>0</v>
      </c>
      <c r="I8" s="9">
        <v>0</v>
      </c>
      <c r="J8" s="10">
        <f t="shared" si="0"/>
        <v>14076</v>
      </c>
      <c r="K8" s="11">
        <v>0</v>
      </c>
      <c r="L8" s="11">
        <v>14076</v>
      </c>
    </row>
    <row r="9" spans="1:12" x14ac:dyDescent="0.2">
      <c r="A9" s="8">
        <v>3</v>
      </c>
      <c r="B9" s="9">
        <v>0</v>
      </c>
      <c r="C9" s="9">
        <v>0</v>
      </c>
      <c r="D9" s="9">
        <v>12343</v>
      </c>
      <c r="E9" s="9">
        <v>0</v>
      </c>
      <c r="F9" s="9">
        <v>0</v>
      </c>
      <c r="G9" s="9">
        <v>0</v>
      </c>
      <c r="H9" s="9">
        <v>0</v>
      </c>
      <c r="I9" s="9">
        <v>0</v>
      </c>
      <c r="J9" s="10">
        <f t="shared" si="0"/>
        <v>12343</v>
      </c>
      <c r="K9" s="11">
        <v>0</v>
      </c>
      <c r="L9" s="11">
        <v>12343</v>
      </c>
    </row>
    <row r="10" spans="1:12" x14ac:dyDescent="0.2">
      <c r="A10" s="8">
        <v>4</v>
      </c>
      <c r="B10" s="9">
        <v>0</v>
      </c>
      <c r="C10" s="9">
        <v>5667</v>
      </c>
      <c r="D10" s="9">
        <v>0</v>
      </c>
      <c r="E10" s="9">
        <v>12367</v>
      </c>
      <c r="F10" s="9">
        <v>0</v>
      </c>
      <c r="G10" s="9">
        <v>0</v>
      </c>
      <c r="H10" s="9">
        <v>0</v>
      </c>
      <c r="I10" s="9">
        <v>0</v>
      </c>
      <c r="J10" s="10">
        <f t="shared" si="0"/>
        <v>18034</v>
      </c>
      <c r="K10" s="11">
        <v>0</v>
      </c>
      <c r="L10" s="11">
        <v>18034</v>
      </c>
    </row>
    <row r="11" spans="1:12" x14ac:dyDescent="0.2">
      <c r="A11" s="8">
        <v>5</v>
      </c>
      <c r="B11" s="9">
        <v>0</v>
      </c>
      <c r="C11" s="9">
        <v>0</v>
      </c>
      <c r="D11" s="9">
        <v>0</v>
      </c>
      <c r="E11" s="9">
        <v>0</v>
      </c>
      <c r="F11" s="9">
        <v>13795</v>
      </c>
      <c r="G11" s="9">
        <v>1572</v>
      </c>
      <c r="H11" s="9">
        <v>0</v>
      </c>
      <c r="I11" s="9">
        <v>0</v>
      </c>
      <c r="J11" s="10">
        <f t="shared" si="0"/>
        <v>15367</v>
      </c>
      <c r="K11" s="11">
        <v>0</v>
      </c>
      <c r="L11" s="11">
        <v>15367</v>
      </c>
    </row>
    <row r="12" spans="1:12" x14ac:dyDescent="0.2">
      <c r="A12" s="8">
        <v>6</v>
      </c>
      <c r="B12" s="9">
        <v>0</v>
      </c>
      <c r="C12" s="9">
        <v>0</v>
      </c>
      <c r="D12" s="9">
        <v>0</v>
      </c>
      <c r="E12" s="9">
        <v>0</v>
      </c>
      <c r="F12" s="9">
        <v>0</v>
      </c>
      <c r="G12" s="9">
        <v>10654</v>
      </c>
      <c r="H12" s="9">
        <v>0</v>
      </c>
      <c r="I12" s="9">
        <v>0</v>
      </c>
      <c r="J12" s="10">
        <f t="shared" si="0"/>
        <v>10654</v>
      </c>
      <c r="K12" s="11">
        <v>0</v>
      </c>
      <c r="L12" s="11">
        <v>10654</v>
      </c>
    </row>
    <row r="13" spans="1:12" x14ac:dyDescent="0.2">
      <c r="A13" s="8">
        <v>7</v>
      </c>
      <c r="B13" s="9">
        <v>0</v>
      </c>
      <c r="C13" s="9">
        <v>0</v>
      </c>
      <c r="D13" s="9">
        <v>0</v>
      </c>
      <c r="E13" s="9">
        <v>0</v>
      </c>
      <c r="F13" s="9">
        <v>3830</v>
      </c>
      <c r="G13" s="9">
        <v>0</v>
      </c>
      <c r="H13" s="9">
        <v>14146</v>
      </c>
      <c r="I13" s="9">
        <v>0</v>
      </c>
      <c r="J13" s="10">
        <f t="shared" si="0"/>
        <v>17976</v>
      </c>
      <c r="K13" s="11">
        <v>0</v>
      </c>
      <c r="L13" s="11">
        <v>17976</v>
      </c>
    </row>
    <row r="14" spans="1:12" x14ac:dyDescent="0.2">
      <c r="A14" s="8">
        <v>8</v>
      </c>
      <c r="B14" s="9">
        <v>0</v>
      </c>
      <c r="C14" s="9">
        <v>0</v>
      </c>
      <c r="D14" s="9">
        <v>0</v>
      </c>
      <c r="E14" s="9">
        <v>0</v>
      </c>
      <c r="F14" s="9">
        <v>0</v>
      </c>
      <c r="G14" s="9">
        <v>0</v>
      </c>
      <c r="H14" s="9">
        <v>0</v>
      </c>
      <c r="I14" s="9">
        <v>8745</v>
      </c>
      <c r="J14" s="10">
        <f t="shared" si="0"/>
        <v>8745</v>
      </c>
      <c r="K14" s="11">
        <v>0</v>
      </c>
      <c r="L14" s="11">
        <v>8745</v>
      </c>
    </row>
    <row r="15" spans="1:12" x14ac:dyDescent="0.2">
      <c r="A15" s="8">
        <v>9</v>
      </c>
      <c r="B15" s="9">
        <v>0</v>
      </c>
      <c r="C15" s="9">
        <v>0</v>
      </c>
      <c r="D15" s="9">
        <v>3807</v>
      </c>
      <c r="E15" s="9">
        <v>4436</v>
      </c>
      <c r="F15" s="9">
        <v>0</v>
      </c>
      <c r="G15" s="9">
        <v>0</v>
      </c>
      <c r="H15" s="9">
        <v>0</v>
      </c>
      <c r="I15" s="9">
        <v>0</v>
      </c>
      <c r="J15" s="10">
        <f t="shared" si="0"/>
        <v>8243</v>
      </c>
      <c r="K15" s="11">
        <v>0</v>
      </c>
      <c r="L15" s="11">
        <v>8243</v>
      </c>
    </row>
    <row r="16" spans="1:12" x14ac:dyDescent="0.2">
      <c r="A16" s="8">
        <v>10</v>
      </c>
      <c r="B16" s="9">
        <v>0</v>
      </c>
      <c r="C16" s="9">
        <v>0</v>
      </c>
      <c r="D16" s="9">
        <v>0</v>
      </c>
      <c r="E16" s="9">
        <v>0</v>
      </c>
      <c r="F16" s="9">
        <v>0</v>
      </c>
      <c r="G16" s="9">
        <v>0</v>
      </c>
      <c r="H16" s="9">
        <v>0</v>
      </c>
      <c r="I16" s="9">
        <v>9667</v>
      </c>
      <c r="J16" s="10">
        <f t="shared" si="0"/>
        <v>9667</v>
      </c>
      <c r="K16" s="11">
        <v>0</v>
      </c>
      <c r="L16" s="11">
        <v>9667</v>
      </c>
    </row>
    <row r="17" spans="1:12" x14ac:dyDescent="0.2">
      <c r="A17" s="8">
        <v>11</v>
      </c>
      <c r="B17" s="9">
        <v>6505</v>
      </c>
      <c r="C17" s="9">
        <v>0</v>
      </c>
      <c r="D17" s="9">
        <v>0</v>
      </c>
      <c r="E17" s="9">
        <v>0</v>
      </c>
      <c r="F17" s="9">
        <v>0</v>
      </c>
      <c r="G17" s="9">
        <v>0</v>
      </c>
      <c r="H17" s="9">
        <v>0</v>
      </c>
      <c r="I17" s="9">
        <v>0</v>
      </c>
      <c r="J17" s="10">
        <f t="shared" si="0"/>
        <v>6505</v>
      </c>
      <c r="K17" s="11">
        <v>0</v>
      </c>
      <c r="L17" s="11">
        <v>6505</v>
      </c>
    </row>
    <row r="18" spans="1:12" x14ac:dyDescent="0.2">
      <c r="A18" s="8">
        <v>12</v>
      </c>
      <c r="B18" s="9">
        <v>4026</v>
      </c>
      <c r="C18" s="9">
        <v>0</v>
      </c>
      <c r="D18" s="9">
        <v>0</v>
      </c>
      <c r="E18" s="9">
        <v>0</v>
      </c>
      <c r="F18" s="9">
        <v>0</v>
      </c>
      <c r="G18" s="9">
        <v>0</v>
      </c>
      <c r="H18" s="9">
        <v>0</v>
      </c>
      <c r="I18" s="9">
        <v>0</v>
      </c>
      <c r="J18" s="10">
        <f t="shared" si="0"/>
        <v>4026</v>
      </c>
      <c r="K18" s="11">
        <v>0</v>
      </c>
      <c r="L18" s="11">
        <v>4026</v>
      </c>
    </row>
    <row r="19" spans="1:12" x14ac:dyDescent="0.2">
      <c r="A19" s="8">
        <v>13</v>
      </c>
      <c r="B19" s="9">
        <v>0</v>
      </c>
      <c r="C19" s="9">
        <v>0</v>
      </c>
      <c r="D19" s="9">
        <v>3593</v>
      </c>
      <c r="E19" s="9">
        <v>0</v>
      </c>
      <c r="F19" s="9">
        <v>0</v>
      </c>
      <c r="G19" s="9">
        <v>0</v>
      </c>
      <c r="H19" s="9">
        <v>0</v>
      </c>
      <c r="I19" s="9">
        <v>0</v>
      </c>
      <c r="J19" s="10">
        <f t="shared" si="0"/>
        <v>3593</v>
      </c>
      <c r="K19" s="11">
        <v>0</v>
      </c>
      <c r="L19" s="11">
        <v>3593</v>
      </c>
    </row>
    <row r="20" spans="1:12" x14ac:dyDescent="0.2">
      <c r="A20" s="8">
        <v>14</v>
      </c>
      <c r="B20" s="9">
        <v>0</v>
      </c>
      <c r="C20" s="9">
        <v>0</v>
      </c>
      <c r="D20" s="9">
        <v>0</v>
      </c>
      <c r="E20" s="9">
        <v>2940</v>
      </c>
      <c r="F20" s="9">
        <v>0</v>
      </c>
      <c r="G20" s="9">
        <v>0</v>
      </c>
      <c r="H20" s="9">
        <v>387</v>
      </c>
      <c r="I20" s="9">
        <v>0</v>
      </c>
      <c r="J20" s="10">
        <f t="shared" si="0"/>
        <v>3327</v>
      </c>
      <c r="K20" s="11">
        <v>0</v>
      </c>
      <c r="L20" s="11">
        <v>3327</v>
      </c>
    </row>
    <row r="21" spans="1:12" x14ac:dyDescent="0.2">
      <c r="A21" s="8">
        <v>15</v>
      </c>
      <c r="B21" s="9">
        <v>0</v>
      </c>
      <c r="C21" s="9">
        <v>0</v>
      </c>
      <c r="D21" s="9">
        <v>0</v>
      </c>
      <c r="E21" s="9">
        <v>0</v>
      </c>
      <c r="F21" s="9">
        <v>0</v>
      </c>
      <c r="G21" s="9">
        <v>0</v>
      </c>
      <c r="H21" s="9">
        <v>3296</v>
      </c>
      <c r="I21" s="9">
        <v>0</v>
      </c>
      <c r="J21" s="10">
        <f t="shared" si="0"/>
        <v>3296</v>
      </c>
      <c r="K21" s="11">
        <v>0</v>
      </c>
      <c r="L21" s="11">
        <v>3296</v>
      </c>
    </row>
    <row r="22" spans="1:12" x14ac:dyDescent="0.2">
      <c r="A22" s="8">
        <v>16</v>
      </c>
      <c r="B22" s="9">
        <v>0</v>
      </c>
      <c r="C22" s="9">
        <v>0</v>
      </c>
      <c r="D22" s="9">
        <v>0</v>
      </c>
      <c r="E22" s="9">
        <v>0</v>
      </c>
      <c r="F22" s="9">
        <v>0</v>
      </c>
      <c r="G22" s="9">
        <v>3199</v>
      </c>
      <c r="H22" s="9">
        <v>0</v>
      </c>
      <c r="I22" s="9">
        <v>0</v>
      </c>
      <c r="J22" s="10">
        <f t="shared" si="0"/>
        <v>3199</v>
      </c>
      <c r="K22" s="11">
        <v>0</v>
      </c>
      <c r="L22" s="11">
        <v>3199</v>
      </c>
    </row>
    <row r="23" spans="1:12" x14ac:dyDescent="0.2">
      <c r="A23" s="8">
        <v>17</v>
      </c>
      <c r="B23" s="9">
        <v>0</v>
      </c>
      <c r="C23" s="9">
        <v>0</v>
      </c>
      <c r="D23" s="9">
        <v>0</v>
      </c>
      <c r="E23" s="9">
        <v>0</v>
      </c>
      <c r="F23" s="9">
        <v>0</v>
      </c>
      <c r="G23" s="9">
        <v>2406</v>
      </c>
      <c r="H23" s="9">
        <v>0</v>
      </c>
      <c r="I23" s="9">
        <v>0</v>
      </c>
      <c r="J23" s="10">
        <f t="shared" si="0"/>
        <v>2406</v>
      </c>
      <c r="K23" s="11">
        <v>0</v>
      </c>
      <c r="L23" s="11">
        <v>2406</v>
      </c>
    </row>
    <row r="24" spans="1:12" x14ac:dyDescent="0.2">
      <c r="A24" s="8">
        <v>18</v>
      </c>
      <c r="B24" s="9">
        <v>0</v>
      </c>
      <c r="C24" s="9">
        <v>0</v>
      </c>
      <c r="D24" s="9">
        <v>0</v>
      </c>
      <c r="E24" s="9">
        <v>0</v>
      </c>
      <c r="F24" s="9">
        <v>2118</v>
      </c>
      <c r="G24" s="9">
        <v>0</v>
      </c>
      <c r="H24" s="9">
        <v>0</v>
      </c>
      <c r="I24" s="9">
        <v>0</v>
      </c>
      <c r="J24" s="10">
        <f t="shared" si="0"/>
        <v>2118</v>
      </c>
      <c r="K24" s="11">
        <v>0</v>
      </c>
      <c r="L24" s="11">
        <v>2118</v>
      </c>
    </row>
    <row r="25" spans="1:12" x14ac:dyDescent="0.2">
      <c r="A25" s="8">
        <v>19</v>
      </c>
      <c r="B25" s="9">
        <v>0</v>
      </c>
      <c r="C25" s="9">
        <v>0</v>
      </c>
      <c r="D25" s="9">
        <v>0</v>
      </c>
      <c r="E25" s="9">
        <v>0</v>
      </c>
      <c r="F25" s="9">
        <v>0</v>
      </c>
      <c r="G25" s="9">
        <v>0</v>
      </c>
      <c r="H25" s="9">
        <v>1914</v>
      </c>
      <c r="I25" s="9">
        <v>0</v>
      </c>
      <c r="J25" s="10">
        <f t="shared" si="0"/>
        <v>1914</v>
      </c>
      <c r="K25" s="11">
        <v>0</v>
      </c>
      <c r="L25" s="11">
        <v>1914</v>
      </c>
    </row>
    <row r="27" spans="1:12" x14ac:dyDescent="0.2">
      <c r="A27" s="7" t="s">
        <v>16</v>
      </c>
      <c r="B27" s="8" t="s">
        <v>0</v>
      </c>
      <c r="C27" s="8" t="s">
        <v>1</v>
      </c>
      <c r="D27" s="8" t="s">
        <v>2</v>
      </c>
      <c r="E27" s="8" t="s">
        <v>3</v>
      </c>
      <c r="F27" s="8" t="s">
        <v>4</v>
      </c>
      <c r="G27" s="8" t="s">
        <v>5</v>
      </c>
      <c r="H27" s="8" t="s">
        <v>6</v>
      </c>
      <c r="I27" s="8" t="s">
        <v>7</v>
      </c>
    </row>
    <row r="28" spans="1:12" x14ac:dyDescent="0.2">
      <c r="A28" s="8" t="s">
        <v>17</v>
      </c>
      <c r="B28" s="9">
        <v>1</v>
      </c>
      <c r="C28" s="9">
        <v>1</v>
      </c>
      <c r="D28" s="9">
        <v>1</v>
      </c>
      <c r="E28" s="9">
        <v>1</v>
      </c>
      <c r="F28" s="9">
        <v>1</v>
      </c>
      <c r="G28" s="9">
        <v>1</v>
      </c>
      <c r="H28" s="9">
        <v>1</v>
      </c>
      <c r="I28" s="9">
        <v>1</v>
      </c>
    </row>
    <row r="30" spans="1:12" x14ac:dyDescent="0.2">
      <c r="A30" s="7" t="s">
        <v>18</v>
      </c>
    </row>
    <row r="31" spans="1:12" x14ac:dyDescent="0.2">
      <c r="A31" s="8" t="s">
        <v>19</v>
      </c>
      <c r="B31" s="10">
        <f t="shared" ref="B31:I31" si="1">SUM(B7:B25)</f>
        <v>10863</v>
      </c>
      <c r="C31" s="10">
        <f t="shared" si="1"/>
        <v>19743</v>
      </c>
      <c r="D31" s="10">
        <f t="shared" si="1"/>
        <v>19743</v>
      </c>
      <c r="E31" s="10">
        <f t="shared" si="1"/>
        <v>19743</v>
      </c>
      <c r="F31" s="10">
        <f t="shared" si="1"/>
        <v>19743</v>
      </c>
      <c r="G31" s="10">
        <f t="shared" si="1"/>
        <v>17831</v>
      </c>
      <c r="H31" s="10">
        <f t="shared" si="1"/>
        <v>19743</v>
      </c>
      <c r="I31" s="10">
        <f t="shared" si="1"/>
        <v>18412</v>
      </c>
    </row>
    <row r="32" spans="1:12" x14ac:dyDescent="0.2">
      <c r="A32" s="8" t="s">
        <v>14</v>
      </c>
      <c r="B32" s="11" t="s">
        <v>20</v>
      </c>
      <c r="C32" s="11" t="s">
        <v>20</v>
      </c>
      <c r="D32" s="11" t="s">
        <v>20</v>
      </c>
      <c r="E32" s="11" t="s">
        <v>20</v>
      </c>
      <c r="F32" s="11" t="s">
        <v>20</v>
      </c>
      <c r="G32" s="11" t="s">
        <v>20</v>
      </c>
      <c r="H32" s="11" t="s">
        <v>20</v>
      </c>
      <c r="I32" s="11" t="s">
        <v>20</v>
      </c>
    </row>
    <row r="33" spans="1:9" x14ac:dyDescent="0.2">
      <c r="A33" s="8" t="s">
        <v>21</v>
      </c>
      <c r="B33" s="10">
        <f t="shared" ref="B33:I33" si="2">B28*19743</f>
        <v>19743</v>
      </c>
      <c r="C33" s="10">
        <f t="shared" si="2"/>
        <v>19743</v>
      </c>
      <c r="D33" s="10">
        <f t="shared" si="2"/>
        <v>19743</v>
      </c>
      <c r="E33" s="10">
        <f t="shared" si="2"/>
        <v>19743</v>
      </c>
      <c r="F33" s="10">
        <f t="shared" si="2"/>
        <v>19743</v>
      </c>
      <c r="G33" s="10">
        <f t="shared" si="2"/>
        <v>19743</v>
      </c>
      <c r="H33" s="10">
        <f t="shared" si="2"/>
        <v>19743</v>
      </c>
      <c r="I33" s="10">
        <f t="shared" si="2"/>
        <v>19743</v>
      </c>
    </row>
    <row r="35" spans="1:9" x14ac:dyDescent="0.2">
      <c r="A35" s="12" t="s">
        <v>24</v>
      </c>
    </row>
    <row r="36" spans="1:9" x14ac:dyDescent="0.2">
      <c r="A36" s="14" cm="1">
        <f t="array" ref="A36">SUMPRODUCT(--(TravelTime!B2:I20&lt;=45), B7:I25) / SUM(L7:L25)</f>
        <v>0.88895289430191815</v>
      </c>
    </row>
    <row r="43" spans="1:9" ht="68" x14ac:dyDescent="0.2">
      <c r="A43" s="15" t="s">
        <v>25</v>
      </c>
    </row>
    <row r="45" spans="1:9" ht="153" x14ac:dyDescent="0.2">
      <c r="A45" s="15" t="s">
        <v>26</v>
      </c>
    </row>
    <row r="47" spans="1:9" ht="102" x14ac:dyDescent="0.2">
      <c r="A47" s="1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Demand</vt:lpstr>
      <vt:lpstr>TravelTime</vt:lpstr>
      <vt:lpstr>solver2-relax-distance-constrai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Dionne Aleman</dc:creator>
  <cp:lastModifiedBy>Ziyue Gong</cp:lastModifiedBy>
  <dcterms:created xsi:type="dcterms:W3CDTF">2015-01-18T17:56:31Z</dcterms:created>
  <dcterms:modified xsi:type="dcterms:W3CDTF">2026-10-01T17:14:39Z</dcterms:modified>
</cp:coreProperties>
</file>